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Content\Desktop\"/>
    </mc:Choice>
  </mc:AlternateContent>
  <xr:revisionPtr revIDLastSave="0" documentId="8_{E918E398-AF12-4A34-BA2C-57C1CDB1325B}" xr6:coauthVersionLast="47" xr6:coauthVersionMax="47" xr10:uidLastSave="{00000000-0000-0000-0000-000000000000}"/>
  <bookViews>
    <workbookView xWindow="-120" yWindow="-120" windowWidth="29040" windowHeight="16440" activeTab="1" xr2:uid="{A0CADAE4-6AD0-4E59-99F4-A3C17A13107E}"/>
  </bookViews>
  <sheets>
    <sheet name="RNA" sheetId="1" r:id="rId1"/>
    <sheet name="Backpropagatio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F13" i="2"/>
  <c r="G13" i="2"/>
  <c r="F12" i="2"/>
  <c r="G12" i="2"/>
  <c r="F11" i="2"/>
  <c r="G11" i="2"/>
  <c r="G10" i="2"/>
  <c r="F10" i="2"/>
  <c r="N6" i="2"/>
  <c r="Q6" i="2" s="1"/>
  <c r="S6" i="2" s="1"/>
  <c r="N5" i="2"/>
  <c r="Q5" i="2" s="1"/>
  <c r="S5" i="2" s="1"/>
  <c r="N4" i="2"/>
  <c r="Q4" i="2" s="1"/>
  <c r="S4" i="2" s="1"/>
  <c r="N3" i="2"/>
  <c r="Q3" i="2" s="1"/>
  <c r="S3" i="2" s="1"/>
  <c r="H3" i="1"/>
  <c r="I3" i="1"/>
  <c r="S7" i="2" l="1"/>
  <c r="U3" i="2" s="1"/>
  <c r="X3" i="2" s="1"/>
  <c r="J3" i="1"/>
  <c r="K3" i="1" s="1"/>
  <c r="D4" i="1" s="1"/>
  <c r="J10" i="2" l="1"/>
  <c r="J11" i="2"/>
  <c r="J12" i="2"/>
  <c r="J13" i="2"/>
  <c r="AA4" i="2"/>
  <c r="AA6" i="2"/>
  <c r="AA3" i="2"/>
  <c r="AA5" i="2"/>
  <c r="M3" i="1"/>
  <c r="F4" i="1" s="1"/>
  <c r="L3" i="1"/>
  <c r="E4" i="1" s="1"/>
  <c r="H4" i="1" s="1"/>
  <c r="I4" i="1" s="1"/>
  <c r="J4" i="1" s="1"/>
  <c r="L4" i="1" s="1"/>
  <c r="E5" i="1" s="1"/>
  <c r="M4" i="1" l="1"/>
  <c r="F5" i="1" s="1"/>
  <c r="K4" i="1"/>
  <c r="D5" i="1" s="1"/>
  <c r="H5" i="1" l="1"/>
  <c r="I5" i="1" s="1"/>
  <c r="J5" i="1" s="1"/>
  <c r="K5" i="1" s="1"/>
  <c r="D6" i="1" s="1"/>
  <c r="M5" i="1"/>
  <c r="F6" i="1" s="1"/>
  <c r="L5" i="1" l="1"/>
  <c r="E6" i="1" s="1"/>
  <c r="H6" i="1"/>
  <c r="I6" i="1" s="1"/>
  <c r="J6" i="1" s="1"/>
  <c r="M6" i="1" l="1"/>
  <c r="F7" i="1" s="1"/>
  <c r="K6" i="1"/>
  <c r="D7" i="1" s="1"/>
  <c r="L6" i="1"/>
  <c r="E7" i="1" s="1"/>
  <c r="H7" i="1" l="1"/>
  <c r="I7" i="1" s="1"/>
  <c r="J7" i="1" s="1"/>
  <c r="M7" i="1" s="1"/>
  <c r="F8" i="1" s="1"/>
  <c r="K7" i="1" l="1"/>
  <c r="D8" i="1" s="1"/>
  <c r="L7" i="1"/>
  <c r="E8" i="1" s="1"/>
  <c r="H8" i="1" l="1"/>
  <c r="I8" i="1" s="1"/>
  <c r="J8" i="1" s="1"/>
  <c r="K8" i="1" l="1"/>
  <c r="D9" i="1" s="1"/>
  <c r="L8" i="1"/>
  <c r="E9" i="1" s="1"/>
  <c r="M8" i="1"/>
  <c r="F9" i="1" s="1"/>
  <c r="H9" i="1" l="1"/>
  <c r="I9" i="1" s="1"/>
  <c r="J9" i="1" s="1"/>
  <c r="K9" i="1" s="1"/>
  <c r="D10" i="1" s="1"/>
  <c r="L9" i="1" l="1"/>
  <c r="E10" i="1" s="1"/>
  <c r="M9" i="1"/>
  <c r="F10" i="1" s="1"/>
  <c r="H10" i="1" l="1"/>
  <c r="I10" i="1" s="1"/>
  <c r="J10" i="1" s="1"/>
  <c r="M10" i="1" l="1"/>
  <c r="F11" i="1" s="1"/>
  <c r="K10" i="1"/>
  <c r="D11" i="1" s="1"/>
  <c r="L10" i="1"/>
  <c r="E11" i="1" s="1"/>
  <c r="H11" i="1" l="1"/>
  <c r="I11" i="1" s="1"/>
  <c r="J11" i="1" s="1"/>
  <c r="M11" i="1" s="1"/>
  <c r="F12" i="1" s="1"/>
  <c r="K11" i="1" l="1"/>
  <c r="D12" i="1" s="1"/>
  <c r="L11" i="1"/>
  <c r="E12" i="1" s="1"/>
  <c r="H12" i="1" l="1"/>
  <c r="I12" i="1" s="1"/>
  <c r="J12" i="1" s="1"/>
  <c r="M12" i="1" l="1"/>
  <c r="F13" i="1" s="1"/>
  <c r="K12" i="1"/>
  <c r="D13" i="1" s="1"/>
  <c r="L12" i="1"/>
  <c r="E13" i="1" s="1"/>
  <c r="H13" i="1" l="1"/>
  <c r="I13" i="1" s="1"/>
  <c r="J13" i="1" s="1"/>
  <c r="L13" i="1" s="1"/>
  <c r="E14" i="1" s="1"/>
  <c r="K13" i="1" l="1"/>
  <c r="D14" i="1" s="1"/>
  <c r="M13" i="1"/>
  <c r="F14" i="1" s="1"/>
  <c r="H14" i="1" s="1"/>
  <c r="I14" i="1" s="1"/>
  <c r="J14" i="1" s="1"/>
  <c r="L14" i="1" l="1"/>
  <c r="E15" i="1" s="1"/>
  <c r="K14" i="1"/>
  <c r="D15" i="1" s="1"/>
  <c r="M14" i="1"/>
  <c r="F15" i="1" s="1"/>
  <c r="H15" i="1" l="1"/>
  <c r="I15" i="1" s="1"/>
  <c r="J15" i="1" s="1"/>
  <c r="L15" i="1" l="1"/>
  <c r="E16" i="1" s="1"/>
  <c r="K15" i="1"/>
  <c r="D16" i="1" s="1"/>
  <c r="M15" i="1"/>
  <c r="F16" i="1" s="1"/>
  <c r="H16" i="1" l="1"/>
  <c r="I16" i="1" s="1"/>
  <c r="J16" i="1" s="1"/>
  <c r="M16" i="1" s="1"/>
  <c r="F17" i="1" s="1"/>
  <c r="L16" i="1" l="1"/>
  <c r="E17" i="1" s="1"/>
  <c r="K16" i="1"/>
  <c r="D17" i="1" s="1"/>
  <c r="H17" i="1" l="1"/>
  <c r="I17" i="1" s="1"/>
  <c r="J17" i="1" s="1"/>
  <c r="M17" i="1" s="1"/>
  <c r="K17" i="1"/>
  <c r="L17" i="1"/>
</calcChain>
</file>

<file path=xl/sharedStrings.xml><?xml version="1.0" encoding="utf-8"?>
<sst xmlns="http://schemas.openxmlformats.org/spreadsheetml/2006/main" count="65" uniqueCount="52">
  <si>
    <t>tx(n) =</t>
  </si>
  <si>
    <t>X1</t>
  </si>
  <si>
    <t>X2</t>
  </si>
  <si>
    <t>Xv</t>
  </si>
  <si>
    <t>w1</t>
  </si>
  <si>
    <t>w2</t>
  </si>
  <si>
    <t>wv</t>
  </si>
  <si>
    <t>d</t>
  </si>
  <si>
    <t>net</t>
  </si>
  <si>
    <t>nw1</t>
  </si>
  <si>
    <t>nw2</t>
  </si>
  <si>
    <t>nwv</t>
  </si>
  <si>
    <t>Y (saída obtida por f)</t>
  </si>
  <si>
    <t>&amp; (erro)</t>
  </si>
  <si>
    <t>A</t>
  </si>
  <si>
    <t>B</t>
  </si>
  <si>
    <t>netC</t>
  </si>
  <si>
    <t>netD</t>
  </si>
  <si>
    <t>netE</t>
  </si>
  <si>
    <t>netF</t>
  </si>
  <si>
    <t>Wc</t>
  </si>
  <si>
    <t>Wd</t>
  </si>
  <si>
    <t>We</t>
  </si>
  <si>
    <t>Wf</t>
  </si>
  <si>
    <t>Wg</t>
  </si>
  <si>
    <t>C</t>
  </si>
  <si>
    <t>D</t>
  </si>
  <si>
    <t>E</t>
  </si>
  <si>
    <t>F</t>
  </si>
  <si>
    <t>Pesos (Camada oculta)</t>
  </si>
  <si>
    <t>Pesos (Camada saída)</t>
  </si>
  <si>
    <t>net's (Camada oculta)</t>
  </si>
  <si>
    <t>iC</t>
  </si>
  <si>
    <t>iD</t>
  </si>
  <si>
    <t>iE</t>
  </si>
  <si>
    <t>iF</t>
  </si>
  <si>
    <t>net's (Camada saída)</t>
  </si>
  <si>
    <t>netG</t>
  </si>
  <si>
    <t>F. Transf. (C a F)</t>
  </si>
  <si>
    <t>F. Transf. (G)</t>
  </si>
  <si>
    <t>Entradas</t>
  </si>
  <si>
    <t>Erro (G)</t>
  </si>
  <si>
    <t>Erro (Camada Oculta)</t>
  </si>
  <si>
    <t>&amp;C</t>
  </si>
  <si>
    <t>&amp;D</t>
  </si>
  <si>
    <t>&amp;E</t>
  </si>
  <si>
    <t>&amp;G</t>
  </si>
  <si>
    <t>&amp;F</t>
  </si>
  <si>
    <t>N. Pesos (C. Saída)</t>
  </si>
  <si>
    <t>Tx. Aprendizado</t>
  </si>
  <si>
    <t>N. Pesos (C.Oculta)</t>
  </si>
  <si>
    <t>Erro da Rede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</si>
</sst>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0" fontId="0" fillId="0" borderId="0" xfId="0" applyBorder="1"/>
    <xf numFmtId="164" fontId="0" fillId="0" borderId="0" xfId="0" applyNumberFormat="1" applyBorder="1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164" fontId="0" fillId="0" borderId="2" xfId="0" applyNumberFormat="1" applyBorder="1"/>
    <xf numFmtId="0" fontId="0" fillId="0" borderId="0" xfId="0" applyFill="1" applyBorder="1"/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4" xfId="0" applyBorder="1" applyAlignment="1">
      <alignment vertical="center"/>
    </xf>
    <xf numFmtId="2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4" fontId="1" fillId="0" borderId="0" xfId="0" applyNumberFormat="1" applyFont="1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0" fillId="0" borderId="4" xfId="0" applyNumberFormat="1" applyBorder="1" applyAlignment="1">
      <alignment vertical="center"/>
    </xf>
    <xf numFmtId="164" fontId="0" fillId="0" borderId="3" xfId="0" applyNumberFormat="1" applyBorder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D00B6-A523-4E2E-B2BE-27551CA29655}">
  <dimension ref="A1:M19"/>
  <sheetViews>
    <sheetView workbookViewId="0">
      <selection activeCell="H38" sqref="H38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3.140625" bestFit="1" customWidth="1"/>
    <col min="4" max="5" width="4.5703125" bestFit="1" customWidth="1"/>
    <col min="6" max="6" width="4.28515625" bestFit="1" customWidth="1"/>
    <col min="7" max="7" width="2.140625" bestFit="1" customWidth="1"/>
    <col min="8" max="8" width="6.7109375" bestFit="1" customWidth="1"/>
    <col min="9" max="9" width="19.28515625" bestFit="1" customWidth="1"/>
    <col min="10" max="10" width="15.28515625" bestFit="1" customWidth="1"/>
    <col min="11" max="13" width="4.7109375" bestFit="1" customWidth="1"/>
  </cols>
  <sheetData>
    <row r="1" spans="1:13" x14ac:dyDescent="0.25">
      <c r="A1" t="s">
        <v>0</v>
      </c>
      <c r="B1">
        <v>0.2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12</v>
      </c>
      <c r="J2" t="s">
        <v>13</v>
      </c>
      <c r="K2" t="s">
        <v>9</v>
      </c>
      <c r="L2" t="s">
        <v>10</v>
      </c>
      <c r="M2" t="s">
        <v>11</v>
      </c>
    </row>
    <row r="3" spans="1:13" x14ac:dyDescent="0.25">
      <c r="A3" s="6">
        <v>20</v>
      </c>
      <c r="B3" s="6">
        <v>10</v>
      </c>
      <c r="C3" s="6">
        <v>1</v>
      </c>
      <c r="D3" s="6">
        <v>0.1</v>
      </c>
      <c r="E3" s="6">
        <v>0.1</v>
      </c>
      <c r="F3" s="6">
        <v>0.1</v>
      </c>
      <c r="G3" s="6">
        <v>0</v>
      </c>
      <c r="H3" s="6">
        <f>A3*D3+B3*E3+C3*F3</f>
        <v>3.1</v>
      </c>
      <c r="I3" s="6">
        <f>IF(H3&lt;=0,0,1)</f>
        <v>1</v>
      </c>
      <c r="J3" s="6">
        <f>G3-I3</f>
        <v>-1</v>
      </c>
      <c r="K3" s="7">
        <f>D3+$B$1*$J3*A3</f>
        <v>-3.9</v>
      </c>
      <c r="L3" s="7">
        <f>E3+$B$1*$J3*B3</f>
        <v>-1.9</v>
      </c>
      <c r="M3" s="7">
        <f>F3+$B$1*$J3*C3</f>
        <v>-0.1</v>
      </c>
    </row>
    <row r="4" spans="1:13" x14ac:dyDescent="0.25">
      <c r="A4">
        <v>80</v>
      </c>
      <c r="B4">
        <v>60</v>
      </c>
      <c r="C4">
        <v>1</v>
      </c>
      <c r="D4" s="1">
        <f>K3</f>
        <v>-3.9</v>
      </c>
      <c r="E4" s="1">
        <f>L3</f>
        <v>-1.9</v>
      </c>
      <c r="F4" s="1">
        <f>M3</f>
        <v>-0.1</v>
      </c>
      <c r="G4">
        <v>1</v>
      </c>
      <c r="H4">
        <f>A4*D4+B4*E4+C4*F4</f>
        <v>-426.1</v>
      </c>
      <c r="I4">
        <f>IF(H4&lt;=0,0,1)</f>
        <v>0</v>
      </c>
      <c r="J4">
        <f>G4-I4</f>
        <v>1</v>
      </c>
      <c r="K4" s="1">
        <f>D4+$B$1*$J4*A4</f>
        <v>12.1</v>
      </c>
      <c r="L4" s="1">
        <f>E4+$B$1*$J4*B4</f>
        <v>10.1</v>
      </c>
      <c r="M4" s="1">
        <f>F4+$B$1*$J4*C4</f>
        <v>0.1</v>
      </c>
    </row>
    <row r="5" spans="1:13" x14ac:dyDescent="0.25">
      <c r="A5">
        <v>-20</v>
      </c>
      <c r="B5">
        <v>10</v>
      </c>
      <c r="C5">
        <v>1</v>
      </c>
      <c r="D5" s="1">
        <f>K4</f>
        <v>12.1</v>
      </c>
      <c r="E5" s="1">
        <f>L4</f>
        <v>10.1</v>
      </c>
      <c r="F5" s="1">
        <f>M4</f>
        <v>0.1</v>
      </c>
      <c r="G5">
        <v>1</v>
      </c>
      <c r="H5">
        <f>A5*D5+B5*E5+C5*F5</f>
        <v>-140.9</v>
      </c>
      <c r="I5">
        <f>IF(H5&lt;=0,0,1)</f>
        <v>0</v>
      </c>
      <c r="J5">
        <f>G5-I5</f>
        <v>1</v>
      </c>
      <c r="K5" s="1">
        <f>D5+$B$1*$J5*A5</f>
        <v>8.1</v>
      </c>
      <c r="L5" s="1">
        <f>E5+$B$1*$J5*B5</f>
        <v>12.1</v>
      </c>
      <c r="M5" s="1">
        <f>F5+$B$1*$J5*C5</f>
        <v>0.30000000000000004</v>
      </c>
    </row>
    <row r="6" spans="1:13" x14ac:dyDescent="0.25">
      <c r="A6" s="6">
        <v>20</v>
      </c>
      <c r="B6" s="6">
        <v>10</v>
      </c>
      <c r="C6" s="6">
        <v>1</v>
      </c>
      <c r="D6" s="7">
        <f>K5</f>
        <v>8.1</v>
      </c>
      <c r="E6" s="7">
        <f>L5</f>
        <v>12.1</v>
      </c>
      <c r="F6" s="7">
        <f>M5</f>
        <v>0.30000000000000004</v>
      </c>
      <c r="G6" s="6">
        <v>0</v>
      </c>
      <c r="H6" s="6">
        <f>A6*D6+B6*E6+C6*F6</f>
        <v>283.3</v>
      </c>
      <c r="I6" s="6">
        <f>IF(H6&lt;=0,0,1)</f>
        <v>1</v>
      </c>
      <c r="J6" s="6">
        <f>G6-I6</f>
        <v>-1</v>
      </c>
      <c r="K6" s="7">
        <f>D6+$B$1*$J6*A6</f>
        <v>4.0999999999999996</v>
      </c>
      <c r="L6" s="7">
        <f>E6+$B$1*$J6*B6</f>
        <v>10.1</v>
      </c>
      <c r="M6" s="7">
        <f>F6+$B$1*$J6*C6</f>
        <v>0.10000000000000003</v>
      </c>
    </row>
    <row r="7" spans="1:13" x14ac:dyDescent="0.25">
      <c r="A7" s="2">
        <v>80</v>
      </c>
      <c r="B7" s="2">
        <v>60</v>
      </c>
      <c r="C7" s="2">
        <v>1</v>
      </c>
      <c r="D7" s="3">
        <f>K6</f>
        <v>4.0999999999999996</v>
      </c>
      <c r="E7" s="3">
        <f>L6</f>
        <v>10.1</v>
      </c>
      <c r="F7" s="3">
        <f>M6</f>
        <v>0.10000000000000003</v>
      </c>
      <c r="G7" s="2">
        <v>1</v>
      </c>
      <c r="H7" s="2">
        <f>A7*D7+B7*E7+C7*F7</f>
        <v>934.1</v>
      </c>
      <c r="I7" s="2">
        <f>IF(H7&lt;=0,0,1)</f>
        <v>1</v>
      </c>
      <c r="J7" s="2">
        <f>G7-I7</f>
        <v>0</v>
      </c>
      <c r="K7" s="3">
        <f>D7+$B$1*$J7*A7</f>
        <v>4.0999999999999996</v>
      </c>
      <c r="L7" s="3">
        <f>E7+$B$1*$J7*B7</f>
        <v>10.1</v>
      </c>
      <c r="M7" s="3">
        <f>F7+$B$1*$J7*C7</f>
        <v>0.10000000000000003</v>
      </c>
    </row>
    <row r="8" spans="1:13" x14ac:dyDescent="0.25">
      <c r="A8" s="4">
        <v>-20</v>
      </c>
      <c r="B8" s="2">
        <v>10</v>
      </c>
      <c r="C8" s="2">
        <v>1</v>
      </c>
      <c r="D8" s="3">
        <f>K7</f>
        <v>4.0999999999999996</v>
      </c>
      <c r="E8" s="3">
        <f>L7</f>
        <v>10.1</v>
      </c>
      <c r="F8" s="3">
        <f>M7</f>
        <v>0.10000000000000003</v>
      </c>
      <c r="G8" s="2">
        <v>1</v>
      </c>
      <c r="H8" s="2">
        <f>A8*D8+B8*E8+C8*F8</f>
        <v>19.100000000000001</v>
      </c>
      <c r="I8" s="2">
        <f>IF(H8&lt;=0,0,1)</f>
        <v>1</v>
      </c>
      <c r="J8" s="2">
        <f>G8-I8</f>
        <v>0</v>
      </c>
      <c r="K8" s="3">
        <f>D8+$B$1*$J8*A8</f>
        <v>4.0999999999999996</v>
      </c>
      <c r="L8" s="3">
        <f>E8+$B$1*$J8*B8</f>
        <v>10.1</v>
      </c>
      <c r="M8" s="3">
        <f>F8+$B$1*$J8*C8</f>
        <v>0.10000000000000003</v>
      </c>
    </row>
    <row r="9" spans="1:13" x14ac:dyDescent="0.25">
      <c r="A9" s="6">
        <v>20</v>
      </c>
      <c r="B9" s="6">
        <v>10</v>
      </c>
      <c r="C9" s="6">
        <v>1</v>
      </c>
      <c r="D9" s="7">
        <f>K8</f>
        <v>4.0999999999999996</v>
      </c>
      <c r="E9" s="7">
        <f>L8</f>
        <v>10.1</v>
      </c>
      <c r="F9" s="7">
        <f>M8</f>
        <v>0.10000000000000003</v>
      </c>
      <c r="G9" s="6">
        <v>0</v>
      </c>
      <c r="H9" s="6">
        <f>A9*D9+B9*E9+C9*F9</f>
        <v>183.1</v>
      </c>
      <c r="I9" s="6">
        <f>IF(H9&lt;=0,0,1)</f>
        <v>1</v>
      </c>
      <c r="J9" s="6">
        <f>G9-I9</f>
        <v>-1</v>
      </c>
      <c r="K9" s="7">
        <f>D9+$B$1*$J9*A9</f>
        <v>9.9999999999999645E-2</v>
      </c>
      <c r="L9" s="7">
        <f>E9+$B$1*$J9*B9</f>
        <v>8.1</v>
      </c>
      <c r="M9" s="7">
        <f>F9+$B$1*$J9*C9</f>
        <v>-9.9999999999999978E-2</v>
      </c>
    </row>
    <row r="10" spans="1:13" x14ac:dyDescent="0.25">
      <c r="A10" s="2">
        <v>80</v>
      </c>
      <c r="B10" s="2">
        <v>60</v>
      </c>
      <c r="C10" s="2">
        <v>1</v>
      </c>
      <c r="D10" s="3">
        <f>K9</f>
        <v>9.9999999999999645E-2</v>
      </c>
      <c r="E10" s="3">
        <f>L9</f>
        <v>8.1</v>
      </c>
      <c r="F10" s="3">
        <f>M9</f>
        <v>-9.9999999999999978E-2</v>
      </c>
      <c r="G10" s="2">
        <v>1</v>
      </c>
      <c r="H10" s="2">
        <f>A10*D10+B10*E10+C10*F10</f>
        <v>493.9</v>
      </c>
      <c r="I10" s="2">
        <f>IF(H10&lt;=0,0,1)</f>
        <v>1</v>
      </c>
      <c r="J10" s="2">
        <f>G10-I10</f>
        <v>0</v>
      </c>
      <c r="K10" s="3">
        <f>D10+$B$1*$J10*A10</f>
        <v>9.9999999999999645E-2</v>
      </c>
      <c r="L10" s="3">
        <f>E10+$B$1*$J10*B10</f>
        <v>8.1</v>
      </c>
      <c r="M10" s="3">
        <f>F10+$B$1*$J10*C10</f>
        <v>-9.9999999999999978E-2</v>
      </c>
    </row>
    <row r="11" spans="1:13" x14ac:dyDescent="0.25">
      <c r="A11" s="4">
        <v>-20</v>
      </c>
      <c r="B11" s="4">
        <v>10</v>
      </c>
      <c r="C11" s="4">
        <v>1</v>
      </c>
      <c r="D11" s="5">
        <f>K10</f>
        <v>9.9999999999999645E-2</v>
      </c>
      <c r="E11" s="5">
        <f>L10</f>
        <v>8.1</v>
      </c>
      <c r="F11" s="5">
        <f>M10</f>
        <v>-9.9999999999999978E-2</v>
      </c>
      <c r="G11" s="4">
        <v>1</v>
      </c>
      <c r="H11" s="4">
        <f>A11*D11+B11*E11+C11*F11</f>
        <v>78.900000000000006</v>
      </c>
      <c r="I11" s="4">
        <f>IF(H11&lt;=0,0,1)</f>
        <v>1</v>
      </c>
      <c r="J11" s="4">
        <f>G11-I11</f>
        <v>0</v>
      </c>
      <c r="K11" s="5">
        <f>D11+$B$1*$J11*A11</f>
        <v>9.9999999999999645E-2</v>
      </c>
      <c r="L11" s="5">
        <f>E11+$B$1*$J11*B11</f>
        <v>8.1</v>
      </c>
      <c r="M11" s="5">
        <f>F11+$B$1*$J11*C11</f>
        <v>-9.9999999999999978E-2</v>
      </c>
    </row>
    <row r="12" spans="1:13" x14ac:dyDescent="0.25">
      <c r="A12" s="6">
        <v>20</v>
      </c>
      <c r="B12" s="2">
        <v>10</v>
      </c>
      <c r="C12" s="2">
        <v>1</v>
      </c>
      <c r="D12" s="3">
        <f>K11</f>
        <v>9.9999999999999645E-2</v>
      </c>
      <c r="E12" s="3">
        <f>L11</f>
        <v>8.1</v>
      </c>
      <c r="F12" s="3">
        <f>M11</f>
        <v>-9.9999999999999978E-2</v>
      </c>
      <c r="G12" s="2">
        <v>0</v>
      </c>
      <c r="H12" s="2">
        <f>A12*D12+B12*E12+C12*F12</f>
        <v>82.9</v>
      </c>
      <c r="I12" s="2">
        <f>IF(H12&lt;=0,0,1)</f>
        <v>1</v>
      </c>
      <c r="J12" s="2">
        <f>G12-I12</f>
        <v>-1</v>
      </c>
      <c r="K12" s="3">
        <f>D12+$B$1*$J12*A12</f>
        <v>-3.9000000000000004</v>
      </c>
      <c r="L12" s="3">
        <f>E12+$B$1*$J12*B12</f>
        <v>6.1</v>
      </c>
      <c r="M12" s="3">
        <f>F12+$B$1*$J12*C12</f>
        <v>-0.3</v>
      </c>
    </row>
    <row r="13" spans="1:13" x14ac:dyDescent="0.25">
      <c r="A13" s="2">
        <v>80</v>
      </c>
      <c r="B13" s="2">
        <v>60</v>
      </c>
      <c r="C13" s="2">
        <v>1</v>
      </c>
      <c r="D13" s="3">
        <f>K12</f>
        <v>-3.9000000000000004</v>
      </c>
      <c r="E13" s="3">
        <f>L12</f>
        <v>6.1</v>
      </c>
      <c r="F13" s="3">
        <f>M12</f>
        <v>-0.3</v>
      </c>
      <c r="G13" s="2">
        <v>1</v>
      </c>
      <c r="H13" s="2">
        <f>A13*D13+B13*E13+C13*F13</f>
        <v>53.7</v>
      </c>
      <c r="I13" s="2">
        <f>IF(H13&lt;=0,0,1)</f>
        <v>1</v>
      </c>
      <c r="J13" s="2">
        <f>G13-I13</f>
        <v>0</v>
      </c>
      <c r="K13" s="3">
        <f>D13+$B$1*$J13*A13</f>
        <v>-3.9000000000000004</v>
      </c>
      <c r="L13" s="3">
        <f>E13+$B$1*$J13*B13</f>
        <v>6.1</v>
      </c>
      <c r="M13" s="3">
        <f>F13+$B$1*$J13*C13</f>
        <v>-0.3</v>
      </c>
    </row>
    <row r="14" spans="1:13" x14ac:dyDescent="0.25">
      <c r="A14" s="2">
        <v>-20</v>
      </c>
      <c r="B14" s="4">
        <v>10</v>
      </c>
      <c r="C14" s="4">
        <v>1</v>
      </c>
      <c r="D14" s="5">
        <f>K13</f>
        <v>-3.9000000000000004</v>
      </c>
      <c r="E14" s="5">
        <f>L13</f>
        <v>6.1</v>
      </c>
      <c r="F14" s="5">
        <f>M13</f>
        <v>-0.3</v>
      </c>
      <c r="G14" s="4">
        <v>1</v>
      </c>
      <c r="H14" s="4">
        <f>A14*D14+B14*E14+C14*F14</f>
        <v>138.69999999999999</v>
      </c>
      <c r="I14" s="4">
        <f>IF(H14&lt;=0,0,1)</f>
        <v>1</v>
      </c>
      <c r="J14" s="4">
        <f>G14-I14</f>
        <v>0</v>
      </c>
      <c r="K14" s="5">
        <f>D14+$B$1*$J14*A14</f>
        <v>-3.9000000000000004</v>
      </c>
      <c r="L14" s="5">
        <f>E14+$B$1*$J14*B14</f>
        <v>6.1</v>
      </c>
      <c r="M14" s="5">
        <f>F14+$B$1*$J14*C14</f>
        <v>-0.3</v>
      </c>
    </row>
    <row r="15" spans="1:13" x14ac:dyDescent="0.25">
      <c r="A15" s="6">
        <v>20</v>
      </c>
      <c r="B15" s="2">
        <v>10</v>
      </c>
      <c r="C15" s="2">
        <v>1</v>
      </c>
      <c r="D15" s="3">
        <f>K14</f>
        <v>-3.9000000000000004</v>
      </c>
      <c r="E15" s="3">
        <f>L14</f>
        <v>6.1</v>
      </c>
      <c r="F15" s="3">
        <f>M14</f>
        <v>-0.3</v>
      </c>
      <c r="G15" s="2">
        <v>0</v>
      </c>
      <c r="H15" s="2">
        <f>A15*D15+B15*E15+C15*F15</f>
        <v>-17.3</v>
      </c>
      <c r="I15" s="2">
        <f>IF(H15&lt;=0,0,1)</f>
        <v>0</v>
      </c>
      <c r="J15" s="2">
        <f>G15-I15</f>
        <v>0</v>
      </c>
      <c r="K15" s="3">
        <f>D15+$B$1*$J15*A15</f>
        <v>-3.9000000000000004</v>
      </c>
      <c r="L15" s="3">
        <f>E15+$B$1*$J15*B15</f>
        <v>6.1</v>
      </c>
      <c r="M15" s="3">
        <f>F15+$B$1*$J15*C15</f>
        <v>-0.3</v>
      </c>
    </row>
    <row r="16" spans="1:13" x14ac:dyDescent="0.25">
      <c r="A16" s="2">
        <v>80</v>
      </c>
      <c r="B16" s="2">
        <v>60</v>
      </c>
      <c r="C16" s="2">
        <v>1</v>
      </c>
      <c r="D16" s="3">
        <f>K15</f>
        <v>-3.9000000000000004</v>
      </c>
      <c r="E16" s="3">
        <f>L15</f>
        <v>6.1</v>
      </c>
      <c r="F16" s="3">
        <f>M15</f>
        <v>-0.3</v>
      </c>
      <c r="G16" s="2">
        <v>1</v>
      </c>
      <c r="H16" s="2">
        <f>A16*D16+B16*E16+C16*F16</f>
        <v>53.7</v>
      </c>
      <c r="I16" s="2">
        <f>IF(H16&lt;=0,0,1)</f>
        <v>1</v>
      </c>
      <c r="J16" s="2">
        <f>G16-I16</f>
        <v>0</v>
      </c>
      <c r="K16" s="3">
        <f>D16+$B$1*$J16*A16</f>
        <v>-3.9000000000000004</v>
      </c>
      <c r="L16" s="3">
        <f>E16+$B$1*$J16*B16</f>
        <v>6.1</v>
      </c>
      <c r="M16" s="3">
        <f>F16+$B$1*$J16*C16</f>
        <v>-0.3</v>
      </c>
    </row>
    <row r="17" spans="1:13" x14ac:dyDescent="0.25">
      <c r="A17" s="4">
        <v>-20</v>
      </c>
      <c r="B17" s="4">
        <v>10</v>
      </c>
      <c r="C17" s="4">
        <v>1</v>
      </c>
      <c r="D17" s="5">
        <f>K16</f>
        <v>-3.9000000000000004</v>
      </c>
      <c r="E17" s="5">
        <f>L16</f>
        <v>6.1</v>
      </c>
      <c r="F17" s="5">
        <f>M16</f>
        <v>-0.3</v>
      </c>
      <c r="G17" s="4">
        <v>1</v>
      </c>
      <c r="H17" s="4">
        <f>A17*D17+B17*E17+C17*F17</f>
        <v>138.69999999999999</v>
      </c>
      <c r="I17" s="4">
        <f>IF(H17&lt;=0,0,1)</f>
        <v>1</v>
      </c>
      <c r="J17" s="4">
        <f>G17-I17</f>
        <v>0</v>
      </c>
      <c r="K17" s="5">
        <f>D17+$B$1*$J17*A17</f>
        <v>-3.9000000000000004</v>
      </c>
      <c r="L17" s="5">
        <f>E17+$B$1*$J17*B17</f>
        <v>6.1</v>
      </c>
      <c r="M17" s="5">
        <f>F17+$B$1*$J17*C17</f>
        <v>-0.3</v>
      </c>
    </row>
    <row r="18" spans="1:13" x14ac:dyDescent="0.25">
      <c r="A18" s="8">
        <v>20</v>
      </c>
      <c r="B18" s="8">
        <v>50</v>
      </c>
      <c r="C18" s="8">
        <v>1</v>
      </c>
    </row>
    <row r="19" spans="1:13" x14ac:dyDescent="0.25">
      <c r="A19" s="8">
        <v>50</v>
      </c>
      <c r="B19" s="8">
        <v>0</v>
      </c>
      <c r="C19" s="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5975-D867-4D62-BC11-34AD7A0FEF89}">
  <dimension ref="A1:AC17"/>
  <sheetViews>
    <sheetView tabSelected="1" workbookViewId="0">
      <selection activeCell="E18" sqref="E18"/>
    </sheetView>
  </sheetViews>
  <sheetFormatPr defaultRowHeight="15" x14ac:dyDescent="0.25"/>
  <cols>
    <col min="1" max="1" width="3.5703125" style="10" customWidth="1"/>
    <col min="2" max="3" width="3.28515625" style="10" customWidth="1"/>
    <col min="4" max="4" width="5.42578125" style="10" customWidth="1"/>
    <col min="5" max="5" width="5.5703125" style="10" customWidth="1"/>
    <col min="6" max="6" width="5.140625" style="10" customWidth="1"/>
    <col min="7" max="7" width="5.5703125" style="10" customWidth="1"/>
    <col min="8" max="8" width="9.140625" style="10"/>
    <col min="9" max="9" width="5.85546875" style="21" customWidth="1"/>
    <col min="10" max="10" width="6.140625" style="10" customWidth="1"/>
    <col min="11" max="12" width="9.140625" style="10"/>
    <col min="13" max="13" width="5.42578125" style="10" customWidth="1"/>
    <col min="14" max="14" width="6.42578125" style="10" customWidth="1"/>
    <col min="15" max="15" width="9.140625" style="10"/>
    <col min="16" max="16" width="2.85546875" style="10" bestFit="1" customWidth="1"/>
    <col min="17" max="17" width="5.5703125" style="10" customWidth="1"/>
    <col min="18" max="18" width="14.28515625" style="10" customWidth="1"/>
    <col min="19" max="19" width="6.7109375" style="10" customWidth="1"/>
    <col min="20" max="20" width="15" style="10" customWidth="1"/>
    <col min="21" max="22" width="9.140625" style="10"/>
    <col min="23" max="23" width="4.140625" style="10" customWidth="1"/>
    <col min="24" max="24" width="6.85546875" style="10" customWidth="1"/>
    <col min="25" max="16384" width="9.140625" style="10"/>
  </cols>
  <sheetData>
    <row r="1" spans="1:29" x14ac:dyDescent="0.25">
      <c r="A1" s="10" t="s">
        <v>40</v>
      </c>
      <c r="E1" s="11" t="s">
        <v>29</v>
      </c>
      <c r="G1" s="12"/>
      <c r="H1" s="12"/>
      <c r="I1" s="21" t="s">
        <v>30</v>
      </c>
      <c r="J1" s="12"/>
      <c r="K1" s="12"/>
      <c r="L1" s="13"/>
      <c r="M1" s="10" t="s">
        <v>31</v>
      </c>
      <c r="Q1" s="10" t="s">
        <v>38</v>
      </c>
      <c r="S1" s="10" t="s">
        <v>36</v>
      </c>
      <c r="U1" s="10" t="s">
        <v>39</v>
      </c>
      <c r="W1" s="10" t="s">
        <v>41</v>
      </c>
      <c r="Z1" s="10" t="s">
        <v>42</v>
      </c>
      <c r="AC1" s="10" t="s">
        <v>49</v>
      </c>
    </row>
    <row r="2" spans="1:29" x14ac:dyDescent="0.25">
      <c r="B2" s="10" t="s">
        <v>14</v>
      </c>
      <c r="C2" s="10" t="s">
        <v>15</v>
      </c>
      <c r="F2" s="9" t="s">
        <v>14</v>
      </c>
      <c r="G2" s="9" t="s">
        <v>15</v>
      </c>
      <c r="H2" s="12"/>
      <c r="I2" s="22"/>
      <c r="J2" s="10" t="s">
        <v>24</v>
      </c>
      <c r="L2" s="13"/>
      <c r="AC2" s="10">
        <v>1</v>
      </c>
    </row>
    <row r="3" spans="1:29" x14ac:dyDescent="0.25">
      <c r="B3" s="10">
        <v>0</v>
      </c>
      <c r="C3" s="10">
        <v>1</v>
      </c>
      <c r="E3" s="10" t="s">
        <v>20</v>
      </c>
      <c r="F3" s="19">
        <v>1.1000000000000001</v>
      </c>
      <c r="G3" s="16">
        <v>-1.4</v>
      </c>
      <c r="I3" s="22" t="s">
        <v>25</v>
      </c>
      <c r="J3" s="15">
        <v>1.2</v>
      </c>
      <c r="M3" s="10" t="s">
        <v>16</v>
      </c>
      <c r="N3" s="15">
        <f>$B$3*F3+$C$3*G3</f>
        <v>-1.4</v>
      </c>
      <c r="P3" s="10" t="s">
        <v>32</v>
      </c>
      <c r="Q3" s="15">
        <f>N3</f>
        <v>-1.4</v>
      </c>
      <c r="S3" s="10">
        <f>Q3*J3</f>
        <v>-1.68</v>
      </c>
      <c r="U3" s="10">
        <f>S7</f>
        <v>-0.69000000000000039</v>
      </c>
      <c r="W3" s="10" t="s">
        <v>46</v>
      </c>
      <c r="X3" s="10">
        <f>(1 - U3) * 1</f>
        <v>1.6900000000000004</v>
      </c>
      <c r="Z3" s="10" t="s">
        <v>43</v>
      </c>
      <c r="AA3" s="14">
        <f>1*$X$3*J3</f>
        <v>2.0280000000000005</v>
      </c>
    </row>
    <row r="4" spans="1:29" x14ac:dyDescent="0.25">
      <c r="E4" s="10" t="s">
        <v>21</v>
      </c>
      <c r="F4" s="17">
        <v>3.6</v>
      </c>
      <c r="G4" s="17">
        <v>-4.0999999999999996</v>
      </c>
      <c r="I4" s="22" t="s">
        <v>26</v>
      </c>
      <c r="J4" s="17">
        <v>1.6</v>
      </c>
      <c r="K4" s="12"/>
      <c r="M4" s="10" t="s">
        <v>17</v>
      </c>
      <c r="N4" s="15">
        <f>$B$3*F4+$C$3*G4</f>
        <v>-4.0999999999999996</v>
      </c>
      <c r="P4" s="10" t="s">
        <v>33</v>
      </c>
      <c r="Q4" s="15">
        <f t="shared" ref="Q4:Q6" si="0">N4</f>
        <v>-4.0999999999999996</v>
      </c>
      <c r="S4" s="10">
        <f>Q4*J4</f>
        <v>-6.56</v>
      </c>
      <c r="Z4" s="10" t="s">
        <v>44</v>
      </c>
      <c r="AA4" s="14">
        <f t="shared" ref="AA4:AA6" si="1">1*$X$3*J4</f>
        <v>2.7040000000000006</v>
      </c>
    </row>
    <row r="5" spans="1:29" x14ac:dyDescent="0.25">
      <c r="E5" s="10" t="s">
        <v>22</v>
      </c>
      <c r="F5" s="17">
        <v>2.1</v>
      </c>
      <c r="G5" s="17">
        <v>2.5</v>
      </c>
      <c r="I5" s="22" t="s">
        <v>27</v>
      </c>
      <c r="J5" s="17">
        <v>4.3</v>
      </c>
      <c r="M5" s="10" t="s">
        <v>18</v>
      </c>
      <c r="N5" s="15">
        <f>$B$3*F5+$C$3*G5</f>
        <v>2.5</v>
      </c>
      <c r="P5" s="10" t="s">
        <v>34</v>
      </c>
      <c r="Q5" s="15">
        <f t="shared" si="0"/>
        <v>2.5</v>
      </c>
      <c r="S5" s="10">
        <f>Q5*J5</f>
        <v>10.75</v>
      </c>
      <c r="Z5" s="10" t="s">
        <v>45</v>
      </c>
      <c r="AA5" s="14">
        <f t="shared" si="1"/>
        <v>7.2670000000000012</v>
      </c>
    </row>
    <row r="6" spans="1:29" x14ac:dyDescent="0.25">
      <c r="E6" s="10" t="s">
        <v>23</v>
      </c>
      <c r="F6" s="17">
        <v>0.9</v>
      </c>
      <c r="G6" s="18">
        <v>-1</v>
      </c>
      <c r="I6" s="22" t="s">
        <v>28</v>
      </c>
      <c r="J6" s="17">
        <v>3.2</v>
      </c>
      <c r="M6" s="10" t="s">
        <v>19</v>
      </c>
      <c r="N6" s="15">
        <f>$B$3*F6+$C$3*G6</f>
        <v>-1</v>
      </c>
      <c r="P6" s="10" t="s">
        <v>35</v>
      </c>
      <c r="Q6" s="15">
        <f t="shared" si="0"/>
        <v>-1</v>
      </c>
      <c r="S6" s="10">
        <f>Q6*J6</f>
        <v>-3.2</v>
      </c>
      <c r="Z6" s="10" t="s">
        <v>47</v>
      </c>
      <c r="AA6" s="14">
        <f t="shared" si="1"/>
        <v>5.4080000000000013</v>
      </c>
    </row>
    <row r="7" spans="1:29" x14ac:dyDescent="0.25">
      <c r="R7" s="9" t="s">
        <v>37</v>
      </c>
      <c r="S7" s="10">
        <f>SUM(S3:S6)</f>
        <v>-0.69000000000000039</v>
      </c>
    </row>
    <row r="8" spans="1:29" x14ac:dyDescent="0.25">
      <c r="E8" s="10" t="s">
        <v>50</v>
      </c>
      <c r="I8" s="21" t="s">
        <v>48</v>
      </c>
    </row>
    <row r="9" spans="1:29" x14ac:dyDescent="0.25">
      <c r="F9" s="10" t="s">
        <v>14</v>
      </c>
      <c r="G9" s="10" t="s">
        <v>15</v>
      </c>
      <c r="J9" s="10" t="s">
        <v>24</v>
      </c>
    </row>
    <row r="10" spans="1:29" x14ac:dyDescent="0.25">
      <c r="E10" s="10" t="s">
        <v>20</v>
      </c>
      <c r="F10" s="15">
        <f>F3+$AC$2*$AA3*B$3</f>
        <v>1.1000000000000001</v>
      </c>
      <c r="G10" s="15">
        <f>G3+$AC$2*$AA3*C$3</f>
        <v>0.62800000000000056</v>
      </c>
      <c r="I10" s="9" t="s">
        <v>25</v>
      </c>
      <c r="J10" s="20">
        <f>J3+$AC$2*$X$3*Q3</f>
        <v>-1.1660000000000006</v>
      </c>
    </row>
    <row r="11" spans="1:29" x14ac:dyDescent="0.25">
      <c r="E11" s="10" t="s">
        <v>21</v>
      </c>
      <c r="F11" s="15">
        <f>F4+$AC$2*$AA4*B$3</f>
        <v>3.6</v>
      </c>
      <c r="G11" s="15">
        <f>G4+$AC$2*$AA4*C$3</f>
        <v>-1.395999999999999</v>
      </c>
      <c r="I11" s="9" t="s">
        <v>26</v>
      </c>
      <c r="J11" s="20">
        <f t="shared" ref="J11:J13" si="2">J4+$AC$2*$X$3*Q4</f>
        <v>-5.3290000000000006</v>
      </c>
    </row>
    <row r="12" spans="1:29" x14ac:dyDescent="0.25">
      <c r="E12" s="10" t="s">
        <v>22</v>
      </c>
      <c r="F12" s="15">
        <f>F5+$AC$2*$AA5*B$3</f>
        <v>2.1</v>
      </c>
      <c r="G12" s="15">
        <f>G5+$AC$2*$AA5*C$3</f>
        <v>9.7670000000000012</v>
      </c>
      <c r="I12" s="9" t="s">
        <v>27</v>
      </c>
      <c r="J12" s="20">
        <f t="shared" si="2"/>
        <v>8.5250000000000021</v>
      </c>
    </row>
    <row r="13" spans="1:29" x14ac:dyDescent="0.25">
      <c r="E13" s="10" t="s">
        <v>23</v>
      </c>
      <c r="F13" s="15">
        <f>F6+$AC$2*$AA6*B$3</f>
        <v>0.9</v>
      </c>
      <c r="G13" s="15">
        <f>G6+$AC$2*$AA6*C$3</f>
        <v>4.4080000000000013</v>
      </c>
      <c r="I13" s="9" t="s">
        <v>28</v>
      </c>
      <c r="J13" s="20">
        <f t="shared" si="2"/>
        <v>1.5099999999999998</v>
      </c>
    </row>
    <row r="16" spans="1:29" x14ac:dyDescent="0.25">
      <c r="E16" s="10" t="s">
        <v>51</v>
      </c>
    </row>
    <row r="17" spans="5:5" x14ac:dyDescent="0.25">
      <c r="E17" s="10">
        <f>1/2*POWER(X3, 2)</f>
        <v>1.4280500000000007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RNA</vt:lpstr>
      <vt:lpstr>Backpropagation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Rodrigues</dc:creator>
  <cp:lastModifiedBy>Victor Rodrigues</cp:lastModifiedBy>
  <dcterms:created xsi:type="dcterms:W3CDTF">2025-11-02T16:43:51Z</dcterms:created>
  <dcterms:modified xsi:type="dcterms:W3CDTF">2025-11-03T13:35:54Z</dcterms:modified>
</cp:coreProperties>
</file>