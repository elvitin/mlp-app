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Projects\mlp-app\docs\"/>
    </mc:Choice>
  </mc:AlternateContent>
  <xr:revisionPtr revIDLastSave="0" documentId="13_ncr:1_{3F1F1AB0-8C02-4D5F-9E39-1F6DA54337B2}" xr6:coauthVersionLast="47" xr6:coauthVersionMax="47" xr10:uidLastSave="{00000000-0000-0000-0000-000000000000}"/>
  <bookViews>
    <workbookView xWindow="14295" yWindow="0" windowWidth="14610" windowHeight="16305" xr2:uid="{00000000-000D-0000-FFFF-FFFF00000000}"/>
  </bookViews>
  <sheets>
    <sheet name="Plan1" sheetId="1" r:id="rId1"/>
    <sheet name="Plan2" sheetId="2" r:id="rId2"/>
    <sheet name="Plan3" sheetId="3" r:id="rId3"/>
  </sheets>
  <calcPr calcId="181029"/>
</workbook>
</file>

<file path=xl/calcChain.xml><?xml version="1.0" encoding="utf-8"?>
<calcChain xmlns="http://schemas.openxmlformats.org/spreadsheetml/2006/main">
  <c r="B7" i="1" l="1"/>
  <c r="B23" i="1"/>
  <c r="B18" i="1"/>
  <c r="B22" i="1"/>
  <c r="B17" i="1"/>
  <c r="B10" i="1"/>
  <c r="B5" i="1"/>
  <c r="B6" i="1" s="1"/>
  <c r="B11" i="1" l="1"/>
  <c r="B15" i="1" l="1"/>
  <c r="B16" i="1" s="1"/>
  <c r="B20" i="1"/>
  <c r="B21" i="1"/>
  <c r="I15" i="1" l="1"/>
  <c r="I16" i="1"/>
  <c r="B12" i="1"/>
  <c r="I6" i="1" s="1"/>
  <c r="B25" i="1"/>
  <c r="I5" i="1" l="1"/>
  <c r="I18" i="1"/>
  <c r="I19" i="1"/>
</calcChain>
</file>

<file path=xl/sharedStrings.xml><?xml version="1.0" encoding="utf-8"?>
<sst xmlns="http://schemas.openxmlformats.org/spreadsheetml/2006/main" count="30" uniqueCount="30">
  <si>
    <t>netC</t>
  </si>
  <si>
    <t>iC</t>
  </si>
  <si>
    <t>netD</t>
  </si>
  <si>
    <t>iD</t>
  </si>
  <si>
    <t>netF</t>
  </si>
  <si>
    <t>iF</t>
  </si>
  <si>
    <t>netG</t>
  </si>
  <si>
    <t>iG</t>
  </si>
  <si>
    <t>ErroF</t>
  </si>
  <si>
    <t>ErrG</t>
  </si>
  <si>
    <t>ErroC</t>
  </si>
  <si>
    <t>ErroD</t>
  </si>
  <si>
    <t>ErroRede</t>
  </si>
  <si>
    <t>Wca</t>
  </si>
  <si>
    <t>Wda</t>
  </si>
  <si>
    <t>Wfc</t>
  </si>
  <si>
    <t>Wfd</t>
  </si>
  <si>
    <t>Wgc</t>
  </si>
  <si>
    <t>Wgd</t>
  </si>
  <si>
    <t>PESOS</t>
  </si>
  <si>
    <t>Entrada</t>
  </si>
  <si>
    <t>Peso Atual</t>
  </si>
  <si>
    <t>EFSimples</t>
  </si>
  <si>
    <t>EGSimples</t>
  </si>
  <si>
    <t>A</t>
  </si>
  <si>
    <t>B</t>
  </si>
  <si>
    <t>Wcb</t>
  </si>
  <si>
    <t>Wdb</t>
  </si>
  <si>
    <t>Desejado (F)</t>
  </si>
  <si>
    <t>Desejado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</si>
</sst>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E28" sqref="E28"/>
    </sheetView>
  </sheetViews>
  <sheetFormatPr defaultRowHeight="15" x14ac:dyDescent="0.25"/>
  <cols>
    <col min="1" max="1" width="10.28515625" bestFit="1" customWidth="1"/>
    <col min="4" max="4" width="12.140625" bestFit="1" customWidth="1"/>
    <col min="5" max="5" width="11.85546875" bestFit="1" customWidth="1"/>
  </cols>
  <sheetData>
    <row r="1" spans="1:9" x14ac:dyDescent="0.25">
      <c r="A1" t="s">
        <v>24</v>
      </c>
      <c r="B1" t="s">
        <v>25</v>
      </c>
      <c r="D1" t="s">
        <v>28</v>
      </c>
      <c r="E1" t="s">
        <v>29</v>
      </c>
    </row>
    <row r="2" spans="1:9" x14ac:dyDescent="0.25">
      <c r="A2">
        <v>1</v>
      </c>
      <c r="B2">
        <v>0</v>
      </c>
      <c r="D2">
        <v>0</v>
      </c>
      <c r="E2">
        <v>1</v>
      </c>
    </row>
    <row r="4" spans="1:9" x14ac:dyDescent="0.25">
      <c r="E4" s="1" t="s">
        <v>19</v>
      </c>
      <c r="F4" s="2" t="s">
        <v>20</v>
      </c>
      <c r="G4" s="2" t="s">
        <v>21</v>
      </c>
    </row>
    <row r="5" spans="1:9" x14ac:dyDescent="0.25">
      <c r="A5" t="s">
        <v>0</v>
      </c>
      <c r="B5">
        <f>A2*G5+B2*G7</f>
        <v>1.2</v>
      </c>
      <c r="E5" s="2" t="s">
        <v>13</v>
      </c>
      <c r="F5">
        <v>1</v>
      </c>
      <c r="G5">
        <v>1.2</v>
      </c>
      <c r="I5">
        <f>1.2+1*B7*F5</f>
        <v>-44.564481116985604</v>
      </c>
    </row>
    <row r="6" spans="1:9" x14ac:dyDescent="0.25">
      <c r="A6" t="s">
        <v>1</v>
      </c>
      <c r="B6">
        <f>(B5^2)/5</f>
        <v>0.28799999999999998</v>
      </c>
      <c r="E6" s="2" t="s">
        <v>14</v>
      </c>
      <c r="F6">
        <v>1</v>
      </c>
      <c r="G6">
        <v>3.5</v>
      </c>
      <c r="I6">
        <f>3.5+1*B12*1</f>
        <v>-210.17506708115681</v>
      </c>
    </row>
    <row r="7" spans="1:9" x14ac:dyDescent="0.25">
      <c r="A7" t="s">
        <v>10</v>
      </c>
      <c r="B7">
        <f>(B17*G15+B22*G18)*(2*B5/5)</f>
        <v>-45.764481116985607</v>
      </c>
      <c r="E7" s="2" t="s">
        <v>26</v>
      </c>
      <c r="G7" s="3">
        <v>1</v>
      </c>
    </row>
    <row r="8" spans="1:9" x14ac:dyDescent="0.25">
      <c r="E8" s="2" t="s">
        <v>27</v>
      </c>
      <c r="G8" s="3">
        <v>3</v>
      </c>
    </row>
    <row r="9" spans="1:9" x14ac:dyDescent="0.25">
      <c r="E9" s="2"/>
    </row>
    <row r="10" spans="1:9" x14ac:dyDescent="0.25">
      <c r="A10" t="s">
        <v>2</v>
      </c>
      <c r="B10">
        <f>A2*G6+B2*G8</f>
        <v>3.5</v>
      </c>
      <c r="E10" s="2"/>
    </row>
    <row r="11" spans="1:9" x14ac:dyDescent="0.25">
      <c r="A11" t="s">
        <v>3</v>
      </c>
      <c r="B11">
        <f>B10^2/5</f>
        <v>2.4500000000000002</v>
      </c>
      <c r="E11" s="2"/>
    </row>
    <row r="12" spans="1:9" x14ac:dyDescent="0.25">
      <c r="A12" t="s">
        <v>11</v>
      </c>
      <c r="B12">
        <f>(B17*3.2+B22*(-1.1))*(2*B10/5)</f>
        <v>-213.67506708115681</v>
      </c>
      <c r="E12" s="2"/>
    </row>
    <row r="13" spans="1:9" x14ac:dyDescent="0.25">
      <c r="E13" s="2"/>
    </row>
    <row r="14" spans="1:9" x14ac:dyDescent="0.25">
      <c r="E14" s="2"/>
    </row>
    <row r="15" spans="1:9" x14ac:dyDescent="0.25">
      <c r="A15" t="s">
        <v>4</v>
      </c>
      <c r="B15">
        <f>B6*G15+B11*G16</f>
        <v>8.4160000000000004</v>
      </c>
      <c r="E15" s="2" t="s">
        <v>15</v>
      </c>
      <c r="F15">
        <v>0.28799999999999998</v>
      </c>
      <c r="G15">
        <v>2</v>
      </c>
      <c r="I15">
        <f>G15+1*B17*F15</f>
        <v>-11.734082605219841</v>
      </c>
    </row>
    <row r="16" spans="1:9" x14ac:dyDescent="0.25">
      <c r="A16" t="s">
        <v>5</v>
      </c>
      <c r="B16">
        <f>B15^2/5</f>
        <v>14.165811200000002</v>
      </c>
      <c r="E16" s="2" t="s">
        <v>16</v>
      </c>
      <c r="F16">
        <v>2.4500000000000002</v>
      </c>
      <c r="G16">
        <v>3.2</v>
      </c>
      <c r="I16">
        <f>G16+1*B17*F16</f>
        <v>-113.63507771801602</v>
      </c>
    </row>
    <row r="17" spans="1:9" x14ac:dyDescent="0.25">
      <c r="A17" t="s">
        <v>8</v>
      </c>
      <c r="B17">
        <f>(D2-B16)*(2*B15/5)</f>
        <v>-47.687786823680007</v>
      </c>
      <c r="E17" s="2"/>
    </row>
    <row r="18" spans="1:9" x14ac:dyDescent="0.25">
      <c r="A18" t="s">
        <v>22</v>
      </c>
      <c r="B18">
        <f>(D2-B16)</f>
        <v>-14.165811200000002</v>
      </c>
      <c r="E18" s="2" t="s">
        <v>17</v>
      </c>
      <c r="F18">
        <v>0.28799999999999998</v>
      </c>
      <c r="G18">
        <v>1.5</v>
      </c>
      <c r="I18">
        <f>G18+1*B22*F18</f>
        <v>1.50631769349888</v>
      </c>
    </row>
    <row r="19" spans="1:9" x14ac:dyDescent="0.25">
      <c r="E19" s="2" t="s">
        <v>18</v>
      </c>
      <c r="F19">
        <v>2.4500000000000002</v>
      </c>
      <c r="G19">
        <v>-1.1000000000000001</v>
      </c>
      <c r="I19">
        <f>G19+1*B22*F19</f>
        <v>-1.0462557323879991</v>
      </c>
    </row>
    <row r="20" spans="1:9" x14ac:dyDescent="0.25">
      <c r="A20" t="s">
        <v>6</v>
      </c>
      <c r="B20">
        <f>B6*G18+B11*G19</f>
        <v>-2.2630000000000003</v>
      </c>
    </row>
    <row r="21" spans="1:9" x14ac:dyDescent="0.25">
      <c r="A21" t="s">
        <v>7</v>
      </c>
      <c r="B21">
        <f>B20^2/5</f>
        <v>1.0242338000000004</v>
      </c>
    </row>
    <row r="22" spans="1:9" x14ac:dyDescent="0.25">
      <c r="A22" t="s">
        <v>9</v>
      </c>
      <c r="B22">
        <f>(E2-B21)*(2*B20/5)</f>
        <v>2.1936435760000379E-2</v>
      </c>
    </row>
    <row r="23" spans="1:9" x14ac:dyDescent="0.25">
      <c r="A23" t="s">
        <v>23</v>
      </c>
      <c r="B23">
        <f>(E2-B21)</f>
        <v>-2.4233800000000416E-2</v>
      </c>
    </row>
    <row r="25" spans="1:9" x14ac:dyDescent="0.25">
      <c r="A25" t="s">
        <v>12</v>
      </c>
      <c r="B25">
        <f>0.5*(B23^2+B18^2)</f>
        <v>100.33539711555397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Victor Rodrigues</cp:lastModifiedBy>
  <dcterms:created xsi:type="dcterms:W3CDTF">2014-04-28T12:57:26Z</dcterms:created>
  <dcterms:modified xsi:type="dcterms:W3CDTF">2025-11-03T18:25:28Z</dcterms:modified>
</cp:coreProperties>
</file>