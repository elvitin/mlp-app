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bookViews>
    <workbookView xWindow="0" yWindow="0" windowWidth="19200" windowHeight="7035"/>
  </bookViews>
  <sheets>
    <sheet name="Plan1" sheetId="1" r:id="rId1"/>
    <sheet name="Plan2" sheetId="2" r:id="rId2"/>
    <sheet name="Plan3" sheetId="3" r:id="rId3"/>
  </sheets>
  <calcPr calcId="152511"/>
</workbook>
</file>

<file path=xl/calcChain.xml><?xml version="1.0" encoding="utf-8"?>
<calcChain xmlns="http://schemas.openxmlformats.org/spreadsheetml/2006/main">
  <c r="B22" i="1" l="1"/>
  <c r="B15" i="1"/>
  <c r="B14" i="1"/>
  <c r="B20" i="1"/>
  <c r="B8" i="1" l="1"/>
  <c r="B3" i="1"/>
  <c r="B12" i="1" s="1"/>
  <c r="B13" i="1" s="1"/>
  <c r="I12" i="1" l="1"/>
  <c r="I13" i="1"/>
  <c r="B17" i="1"/>
  <c r="B18" i="1" s="1"/>
  <c r="B19" i="1" s="1"/>
  <c r="B9" i="1" s="1"/>
  <c r="I3" i="1" s="1"/>
  <c r="I16" i="1" l="1"/>
  <c r="I15" i="1"/>
  <c r="B4" i="1"/>
  <c r="I2" i="1" s="1"/>
</calcChain>
</file>

<file path=xl/sharedStrings.xml><?xml version="1.0" encoding="utf-8"?>
<sst xmlns="http://schemas.openxmlformats.org/spreadsheetml/2006/main" count="24" uniqueCount="24">
  <si>
    <t>netC</t>
  </si>
  <si>
    <t>iC</t>
  </si>
  <si>
    <t>netD</t>
  </si>
  <si>
    <t>iD</t>
  </si>
  <si>
    <t>netF</t>
  </si>
  <si>
    <t>iF</t>
  </si>
  <si>
    <t>netG</t>
  </si>
  <si>
    <t>iG</t>
  </si>
  <si>
    <t>ErroF</t>
  </si>
  <si>
    <t>ErrG</t>
  </si>
  <si>
    <t>ErroC</t>
  </si>
  <si>
    <t>ErroD</t>
  </si>
  <si>
    <t>ErroRede</t>
  </si>
  <si>
    <t>Wca</t>
  </si>
  <si>
    <t>Wda</t>
  </si>
  <si>
    <t>Wfc</t>
  </si>
  <si>
    <t>Wfd</t>
  </si>
  <si>
    <t>Wgc</t>
  </si>
  <si>
    <t>Wgd</t>
  </si>
  <si>
    <t>PESOS</t>
  </si>
  <si>
    <t>Entrada</t>
  </si>
  <si>
    <t>Peso Atual</t>
  </si>
  <si>
    <t>EFSimples</t>
  </si>
  <si>
    <t>EGSimples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</si>
</sst>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"/>
  <sheetViews>
    <sheetView tabSelected="1" topLeftCell="A7" workbookViewId="0">
      <selection activeCell="B22" sqref="B22"/>
    </sheetView>
  </sheetViews>
  <sheetFormatPr defaultRowHeight="15" x14ac:dyDescent="0.25"/>
  <sheetData>
    <row r="1" spans="1:9" x14ac:dyDescent="0.25">
      <c r="E1" s="1" t="s">
        <v>19</v>
      </c>
      <c r="F1" s="2" t="s">
        <v>20</v>
      </c>
      <c r="G1" s="2" t="s">
        <v>21</v>
      </c>
    </row>
    <row r="2" spans="1:9" x14ac:dyDescent="0.25">
      <c r="A2" t="s">
        <v>0</v>
      </c>
      <c r="B2">
        <v>1.2</v>
      </c>
      <c r="E2" s="2" t="s">
        <v>13</v>
      </c>
      <c r="F2">
        <v>1</v>
      </c>
      <c r="G2">
        <v>1.2</v>
      </c>
      <c r="I2">
        <f>1.2+1*B4*F2</f>
        <v>-44.564481116985604</v>
      </c>
    </row>
    <row r="3" spans="1:9" x14ac:dyDescent="0.25">
      <c r="A3" t="s">
        <v>1</v>
      </c>
      <c r="B3">
        <f>(1.2^2)/5</f>
        <v>0.28799999999999998</v>
      </c>
      <c r="E3" s="2" t="s">
        <v>14</v>
      </c>
      <c r="F3">
        <v>1</v>
      </c>
      <c r="G3">
        <v>3.5</v>
      </c>
      <c r="I3">
        <f>3.5+1*B9*1</f>
        <v>-210.17506708115681</v>
      </c>
    </row>
    <row r="4" spans="1:9" x14ac:dyDescent="0.25">
      <c r="A4" t="s">
        <v>10</v>
      </c>
      <c r="B4">
        <f>(B14*2+B19*1.5)*(2*B2/5)</f>
        <v>-45.764481116985607</v>
      </c>
      <c r="E4" s="2"/>
    </row>
    <row r="5" spans="1:9" x14ac:dyDescent="0.25">
      <c r="E5" s="2"/>
    </row>
    <row r="6" spans="1:9" x14ac:dyDescent="0.25">
      <c r="E6" s="2"/>
    </row>
    <row r="7" spans="1:9" x14ac:dyDescent="0.25">
      <c r="A7" t="s">
        <v>2</v>
      </c>
      <c r="B7">
        <v>3.5</v>
      </c>
      <c r="E7" s="2"/>
    </row>
    <row r="8" spans="1:9" x14ac:dyDescent="0.25">
      <c r="A8" t="s">
        <v>3</v>
      </c>
      <c r="B8">
        <f>B7^2/5</f>
        <v>2.4500000000000002</v>
      </c>
      <c r="E8" s="2"/>
    </row>
    <row r="9" spans="1:9" x14ac:dyDescent="0.25">
      <c r="A9" t="s">
        <v>11</v>
      </c>
      <c r="B9">
        <f>(B14*3.2+B19*(-1.1))*(2*B7/5)</f>
        <v>-213.67506708115681</v>
      </c>
      <c r="E9" s="2"/>
    </row>
    <row r="10" spans="1:9" x14ac:dyDescent="0.25">
      <c r="E10" s="2"/>
    </row>
    <row r="11" spans="1:9" x14ac:dyDescent="0.25">
      <c r="E11" s="2"/>
    </row>
    <row r="12" spans="1:9" x14ac:dyDescent="0.25">
      <c r="A12" t="s">
        <v>4</v>
      </c>
      <c r="B12">
        <f>B3*2+B8*3.2</f>
        <v>8.4160000000000004</v>
      </c>
      <c r="E12" s="2" t="s">
        <v>15</v>
      </c>
      <c r="F12">
        <v>0.28799999999999998</v>
      </c>
      <c r="G12">
        <v>2</v>
      </c>
      <c r="I12">
        <f>G12+1*B14*F12</f>
        <v>-11.734082605219841</v>
      </c>
    </row>
    <row r="13" spans="1:9" x14ac:dyDescent="0.25">
      <c r="A13" t="s">
        <v>5</v>
      </c>
      <c r="B13">
        <f>B12^2/5</f>
        <v>14.165811200000002</v>
      </c>
      <c r="E13" s="2" t="s">
        <v>16</v>
      </c>
      <c r="F13">
        <v>2.4500000000000002</v>
      </c>
      <c r="G13">
        <v>3.2</v>
      </c>
      <c r="I13">
        <f>G13+1*B14*F13</f>
        <v>-113.63507771801602</v>
      </c>
    </row>
    <row r="14" spans="1:9" x14ac:dyDescent="0.25">
      <c r="A14" t="s">
        <v>8</v>
      </c>
      <c r="B14">
        <f>(0-B13)*(2*B12/5)</f>
        <v>-47.687786823680007</v>
      </c>
      <c r="E14" s="2"/>
    </row>
    <row r="15" spans="1:9" x14ac:dyDescent="0.25">
      <c r="A15" t="s">
        <v>22</v>
      </c>
      <c r="B15">
        <f>(0-B13)</f>
        <v>-14.165811200000002</v>
      </c>
      <c r="E15" s="2" t="s">
        <v>17</v>
      </c>
      <c r="F15">
        <v>0.28799999999999998</v>
      </c>
      <c r="G15">
        <v>1.5</v>
      </c>
      <c r="I15">
        <f>G15+1*B19*F15</f>
        <v>1.50631769349888</v>
      </c>
    </row>
    <row r="16" spans="1:9" x14ac:dyDescent="0.25">
      <c r="E16" s="2" t="s">
        <v>18</v>
      </c>
      <c r="F16">
        <v>2.4500000000000002</v>
      </c>
      <c r="G16">
        <v>-1.1000000000000001</v>
      </c>
      <c r="I16">
        <f>G16+1*B19*F16</f>
        <v>-1.0462557323879991</v>
      </c>
    </row>
    <row r="17" spans="1:2" x14ac:dyDescent="0.25">
      <c r="A17" t="s">
        <v>6</v>
      </c>
      <c r="B17">
        <f>B3*1.5+B8*(-1.1)</f>
        <v>-2.2630000000000003</v>
      </c>
    </row>
    <row r="18" spans="1:2" x14ac:dyDescent="0.25">
      <c r="A18" t="s">
        <v>7</v>
      </c>
      <c r="B18">
        <f>B17^2/5</f>
        <v>1.0242338000000004</v>
      </c>
    </row>
    <row r="19" spans="1:2" x14ac:dyDescent="0.25">
      <c r="A19" t="s">
        <v>9</v>
      </c>
      <c r="B19">
        <f>(1-B18)*(2*B17/5)</f>
        <v>2.1936435760000379E-2</v>
      </c>
    </row>
    <row r="20" spans="1:2" x14ac:dyDescent="0.25">
      <c r="A20" t="s">
        <v>23</v>
      </c>
      <c r="B20">
        <f>(1-B18)</f>
        <v>-2.4233800000000416E-2</v>
      </c>
    </row>
    <row r="22" spans="1:2" x14ac:dyDescent="0.25">
      <c r="A22" t="s">
        <v>12</v>
      </c>
      <c r="B22">
        <f>0.5*(B20^2+B15^2)</f>
        <v>100.33539711555397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Plan2</vt:lpstr>
      <vt:lpstr>Plan3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</dc:creator>
  <cp:lastModifiedBy>Manut</cp:lastModifiedBy>
  <dcterms:created xsi:type="dcterms:W3CDTF">2014-04-28T12:57:26Z</dcterms:created>
  <dcterms:modified xsi:type="dcterms:W3CDTF">2018-11-10T13:05:45Z</dcterms:modified>
</cp:coreProperties>
</file>